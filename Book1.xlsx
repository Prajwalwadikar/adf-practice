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8_{0665581C-11CB-403B-82E4-A93BDD0FA2EF}" xr6:coauthVersionLast="47" xr6:coauthVersionMax="47" xr10:uidLastSave="{00000000-0000-0000-0000-000000000000}"/>
  <bookViews>
    <workbookView xWindow="-108" yWindow="-108" windowWidth="23256" windowHeight="13176" xr2:uid="{CEABB055-0F12-4860-9999-F99D0C565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C13" i="1"/>
  <c r="K13" i="1"/>
  <c r="K9" i="1"/>
  <c r="K6" i="1"/>
  <c r="I7" i="1"/>
  <c r="I8" i="1"/>
  <c r="I9" i="1"/>
  <c r="H7" i="1"/>
  <c r="H8" i="1"/>
  <c r="H9" i="1"/>
  <c r="I5" i="1"/>
  <c r="H2" i="1"/>
  <c r="H3" i="1"/>
  <c r="I3" i="1" s="1"/>
  <c r="H4" i="1"/>
  <c r="I4" i="1" s="1"/>
  <c r="H5" i="1"/>
  <c r="H6" i="1"/>
  <c r="I6" i="1" s="1"/>
</calcChain>
</file>

<file path=xl/sharedStrings.xml><?xml version="1.0" encoding="utf-8"?>
<sst xmlns="http://schemas.openxmlformats.org/spreadsheetml/2006/main" count="14" uniqueCount="14">
  <si>
    <t>Medicine</t>
  </si>
  <si>
    <t>MRP (₹)</t>
  </si>
  <si>
    <t>Price (₹)</t>
  </si>
  <si>
    <t>Discount %</t>
  </si>
  <si>
    <t>Rosycap ASP 20/75</t>
  </si>
  <si>
    <t>Dytor Plus 10mg</t>
  </si>
  <si>
    <t>Nervijen Plus</t>
  </si>
  <si>
    <t>Prolomet XL 50mg</t>
  </si>
  <si>
    <t>Oxramet XR 10/500</t>
  </si>
  <si>
    <t>QNT</t>
  </si>
  <si>
    <t>total</t>
  </si>
  <si>
    <t>Bioheart T 5mg</t>
  </si>
  <si>
    <t>Ticus 90mg</t>
  </si>
  <si>
    <t>Ecosprin Gold 20mg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</si>
</sst>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F32A-01BF-4972-8929-9E878E9A4493}">
  <dimension ref="A1:K13"/>
  <sheetViews>
    <sheetView tabSelected="1" workbookViewId="0">
      <selection activeCell="I2" sqref="I2"/>
    </sheetView>
  </sheetViews>
  <sheetFormatPr defaultRowHeight="14.4" x14ac:dyDescent="0.3"/>
  <cols>
    <col min="1" max="1" width="24.109375" customWidth="1"/>
    <col min="2" max="2" width="15.33203125" customWidth="1"/>
    <col min="3" max="3" width="11.21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9</v>
      </c>
      <c r="H1" s="1" t="s">
        <v>10</v>
      </c>
    </row>
    <row r="2" spans="1:11" ht="43.2" x14ac:dyDescent="0.3">
      <c r="A2" s="3" t="s">
        <v>4</v>
      </c>
      <c r="B2" s="2">
        <v>483.76</v>
      </c>
      <c r="C2" s="2">
        <v>391.84</v>
      </c>
      <c r="D2" s="4">
        <v>0.19</v>
      </c>
      <c r="F2">
        <v>2</v>
      </c>
      <c r="H2">
        <f>(B2*20%)</f>
        <v>96.75200000000001</v>
      </c>
      <c r="I2">
        <f>B2-H2</f>
        <v>387.00799999999998</v>
      </c>
    </row>
    <row r="3" spans="1:11" ht="43.2" x14ac:dyDescent="0.3">
      <c r="A3" s="3" t="s">
        <v>5</v>
      </c>
      <c r="B3" s="2">
        <v>222.84</v>
      </c>
      <c r="C3" s="2">
        <v>180.5</v>
      </c>
      <c r="D3" s="4">
        <v>0.19009999999999999</v>
      </c>
      <c r="F3">
        <v>2</v>
      </c>
      <c r="H3">
        <f t="shared" ref="H3:H9" si="0">(B3*20%)</f>
        <v>44.568000000000005</v>
      </c>
      <c r="I3">
        <f t="shared" ref="I3:I9" si="1">B3-H3</f>
        <v>178.27199999999999</v>
      </c>
    </row>
    <row r="4" spans="1:11" ht="28.8" x14ac:dyDescent="0.3">
      <c r="A4" s="3" t="s">
        <v>6</v>
      </c>
      <c r="B4" s="2">
        <v>644</v>
      </c>
      <c r="C4" s="2">
        <v>521.64</v>
      </c>
      <c r="D4" s="4">
        <v>0.19</v>
      </c>
      <c r="F4">
        <v>2</v>
      </c>
      <c r="H4">
        <f t="shared" si="0"/>
        <v>128.80000000000001</v>
      </c>
      <c r="I4">
        <f t="shared" si="1"/>
        <v>515.20000000000005</v>
      </c>
    </row>
    <row r="5" spans="1:11" ht="28.8" x14ac:dyDescent="0.3">
      <c r="A5" s="3" t="s">
        <v>7</v>
      </c>
      <c r="B5" s="2">
        <v>187.1</v>
      </c>
      <c r="C5" s="2">
        <v>151.54</v>
      </c>
      <c r="D5" s="4">
        <v>0.19</v>
      </c>
      <c r="F5">
        <v>2</v>
      </c>
      <c r="H5">
        <f t="shared" si="0"/>
        <v>37.42</v>
      </c>
      <c r="I5">
        <f t="shared" si="1"/>
        <v>149.68</v>
      </c>
    </row>
    <row r="6" spans="1:11" x14ac:dyDescent="0.3">
      <c r="A6" s="3" t="s">
        <v>8</v>
      </c>
      <c r="B6" s="2">
        <v>703.14</v>
      </c>
      <c r="C6" s="2">
        <v>569.54</v>
      </c>
      <c r="D6" s="4">
        <v>0.19</v>
      </c>
      <c r="F6">
        <v>6</v>
      </c>
      <c r="H6">
        <f t="shared" si="0"/>
        <v>140.62800000000001</v>
      </c>
      <c r="I6">
        <f t="shared" si="1"/>
        <v>562.51199999999994</v>
      </c>
      <c r="K6">
        <f>SUM(I2:I6)</f>
        <v>1792.672</v>
      </c>
    </row>
    <row r="7" spans="1:11" x14ac:dyDescent="0.3">
      <c r="A7" s="3" t="s">
        <v>11</v>
      </c>
      <c r="B7" s="2">
        <v>433.14</v>
      </c>
      <c r="C7" s="2">
        <v>363.83</v>
      </c>
      <c r="D7" s="4">
        <v>0.16</v>
      </c>
      <c r="F7">
        <v>3</v>
      </c>
      <c r="H7">
        <f t="shared" si="0"/>
        <v>86.628</v>
      </c>
      <c r="I7">
        <f t="shared" si="1"/>
        <v>346.512</v>
      </c>
    </row>
    <row r="8" spans="1:11" x14ac:dyDescent="0.3">
      <c r="A8" s="3" t="s">
        <v>12</v>
      </c>
      <c r="B8" s="2">
        <v>819.15</v>
      </c>
      <c r="C8" s="2">
        <v>712.67</v>
      </c>
      <c r="D8" s="4">
        <v>0.13</v>
      </c>
      <c r="F8">
        <v>3</v>
      </c>
      <c r="H8">
        <f t="shared" si="0"/>
        <v>163.83000000000001</v>
      </c>
      <c r="I8">
        <f t="shared" si="1"/>
        <v>655.31999999999994</v>
      </c>
    </row>
    <row r="9" spans="1:11" x14ac:dyDescent="0.3">
      <c r="A9" s="3" t="s">
        <v>13</v>
      </c>
      <c r="B9" s="2">
        <v>364.88</v>
      </c>
      <c r="C9" s="2">
        <v>302.83999999999997</v>
      </c>
      <c r="D9" s="4">
        <v>0.1701</v>
      </c>
      <c r="F9">
        <v>2</v>
      </c>
      <c r="H9">
        <f t="shared" si="0"/>
        <v>72.975999999999999</v>
      </c>
      <c r="I9">
        <f t="shared" si="1"/>
        <v>291.904</v>
      </c>
      <c r="K9">
        <f>SUM(I7:I9)</f>
        <v>1293.7359999999999</v>
      </c>
    </row>
    <row r="13" spans="1:11" x14ac:dyDescent="0.3">
      <c r="C13">
        <f>SUM(C2:C9)</f>
        <v>3194.4</v>
      </c>
      <c r="K13">
        <f>SUM(K6:K9)</f>
        <v>3086.4079999999999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Wadikar</dc:creator>
  <cp:lastModifiedBy>Prajwal Wadikar</cp:lastModifiedBy>
  <dcterms:created xsi:type="dcterms:W3CDTF">2026-01-21T15:51:28Z</dcterms:created>
  <dcterms:modified xsi:type="dcterms:W3CDTF">2026-01-21T17:00:16Z</dcterms:modified>
</cp:coreProperties>
</file>